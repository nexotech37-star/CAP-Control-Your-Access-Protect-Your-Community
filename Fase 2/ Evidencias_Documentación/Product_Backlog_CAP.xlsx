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ska_\Desktop\8 semestre\fase 2\Evidencia de Documentacion\"/>
    </mc:Choice>
  </mc:AlternateContent>
  <xr:revisionPtr revIDLastSave="0" documentId="8_{C274613E-F0D0-4B92-B03D-B49D038D46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 Backlog" sheetId="1" r:id="rId1"/>
    <sheet name="Criterios del Back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B21" i="1"/>
  <c r="G20" i="1"/>
  <c r="B20" i="1"/>
  <c r="G19" i="1"/>
  <c r="B19" i="1"/>
</calcChain>
</file>

<file path=xl/sharedStrings.xml><?xml version="1.0" encoding="utf-8"?>
<sst xmlns="http://schemas.openxmlformats.org/spreadsheetml/2006/main" count="159" uniqueCount="104">
  <si>
    <t>PRODUCT BACKLOG – PROYECTO CAP</t>
  </si>
  <si>
    <t>CAP: Sistema Inteligente de Control de Acceso Vehicular y Peatonal para Condominios</t>
  </si>
  <si>
    <t>ID</t>
  </si>
  <si>
    <t>Historia de Usuario / Ítem</t>
  </si>
  <si>
    <t>Rol</t>
  </si>
  <si>
    <t>Prioridad</t>
  </si>
  <si>
    <t>Responsable</t>
  </si>
  <si>
    <t>Sprint</t>
  </si>
  <si>
    <t>Estado</t>
  </si>
  <si>
    <t>Puntos</t>
  </si>
  <si>
    <t>Dependencia</t>
  </si>
  <si>
    <t>Observaciones</t>
  </si>
  <si>
    <t>HU-01</t>
  </si>
  <si>
    <t>Autenticarse y acceder según rol</t>
  </si>
  <si>
    <t>Todos</t>
  </si>
  <si>
    <t>Alta</t>
  </si>
  <si>
    <t>Equipo</t>
  </si>
  <si>
    <t>Sprint 1</t>
  </si>
  <si>
    <t>Completado</t>
  </si>
  <si>
    <t>—</t>
  </si>
  <si>
    <t>Base de seguridad y acceso diferenciado por rol.</t>
  </si>
  <si>
    <t>HU-02</t>
  </si>
  <si>
    <t>Gestionar residentes y viviendas</t>
  </si>
  <si>
    <t>Administrador</t>
  </si>
  <si>
    <t>Carlos Ycochea</t>
  </si>
  <si>
    <t>Sprint 2</t>
  </si>
  <si>
    <t>En curso</t>
  </si>
  <si>
    <t>Gestión de residentes y asociación con viviendas.</t>
  </si>
  <si>
    <t>HU-03</t>
  </si>
  <si>
    <t>Gestionar vehículos de residentes</t>
  </si>
  <si>
    <t>Residente</t>
  </si>
  <si>
    <t>César Escamilla</t>
  </si>
  <si>
    <t>Registro y gestión de vehículos/patentes del residente.</t>
  </si>
  <si>
    <t>HU-04</t>
  </si>
  <si>
    <t>Reconocer y validar patentes</t>
  </si>
  <si>
    <t>Administrador / Guardia</t>
  </si>
  <si>
    <t>Muy Alta</t>
  </si>
  <si>
    <t>Sprint 6</t>
  </si>
  <si>
    <t>No iniciado</t>
  </si>
  <si>
    <t>HU prioritaria de Trello. La validación manual existe; reconocimiento mediante cámara/OCR queda pendiente.</t>
  </si>
  <si>
    <t>HU-05</t>
  </si>
  <si>
    <t>Registrar eventos de acceso vehicular</t>
  </si>
  <si>
    <t>Ernesto Neculan</t>
  </si>
  <si>
    <t>Sprint 4</t>
  </si>
  <si>
    <t>Mantiene trazabilidad de autorizaciones y rechazos vehiculares.</t>
  </si>
  <si>
    <t>HU-06</t>
  </si>
  <si>
    <t>Gestionar invitaciones y códigos QR</t>
  </si>
  <si>
    <t>Sprint 3</t>
  </si>
  <si>
    <t>Flujo consolidado: crear, generar/compartir QR, validar, controlar vigencia, cancelar y autorizar/rechazar.</t>
  </si>
  <si>
    <t>HU-07</t>
  </si>
  <si>
    <t>Registrar acceso mediante QR</t>
  </si>
  <si>
    <t>Registra el resultado de la validación de visitas.</t>
  </si>
  <si>
    <t>HU-08</t>
  </si>
  <si>
    <t>Supervisar accesos mediante dashboard</t>
  </si>
  <si>
    <t>HU-05, HU-07</t>
  </si>
  <si>
    <t>Dashboard para eventos, accesos, rechazos, invitaciones, vehículos y dispositivos.</t>
  </si>
  <si>
    <t>HU-09</t>
  </si>
  <si>
    <t>Controlar accesos físicos mediante ESP32</t>
  </si>
  <si>
    <t>Sistema / Equipo</t>
  </si>
  <si>
    <t>HU-04, HU-07</t>
  </si>
  <si>
    <t>Maqueta física: apertura vehicular/peatonal, botón de salida y registro de salida.</t>
  </si>
  <si>
    <t>HU-10</t>
  </si>
  <si>
    <t>Gestionar evidencia fotográfica [OPCIONAL]</t>
  </si>
  <si>
    <t>Baja</t>
  </si>
  <si>
    <t>Sprint 5</t>
  </si>
  <si>
    <t>Evidencia adicional asociada a eventos; sin reconocimiento facial.</t>
  </si>
  <si>
    <t>HU-11</t>
  </si>
  <si>
    <t>Gestionar invitaciones para eventos especiales</t>
  </si>
  <si>
    <t>Residente / Guardia</t>
  </si>
  <si>
    <t>César Escamilla / Ernesto Neculan</t>
  </si>
  <si>
    <t>QR de evento con múltiples invitados y control individual del ingreso por Guardia.</t>
  </si>
  <si>
    <t>HU-12</t>
  </si>
  <si>
    <t>Registrar acceso excepcional de vehículo no inscrito</t>
  </si>
  <si>
    <t>Guardia</t>
  </si>
  <si>
    <t>RECOMENDADA Y ACEPTADA: cubre explícitamente el registro manual/excepcional de vehículos visitantes o no inscritos, funcionalidad incorporada al CAP actual.</t>
  </si>
  <si>
    <t>Resumen del Product Backlog</t>
  </si>
  <si>
    <t>Indicador</t>
  </si>
  <si>
    <t>Valor</t>
  </si>
  <si>
    <t>Total de ítems</t>
  </si>
  <si>
    <t>No iniciados</t>
  </si>
  <si>
    <t>Completados</t>
  </si>
  <si>
    <t>Prioridad alta</t>
  </si>
  <si>
    <t>Puntos totales</t>
  </si>
  <si>
    <t>Fuente de actualización: lista “Product Backlog consolidado” del tablero Trello CAP. HU-01 a HU-11 conservan la estructura consolidada del tablero. HU-12 se incorpora como recomendación aceptada para representar explícitamente el acceso excepcional de vehículos no inscritos. Los estados, responsables, sprints y puntos se alinean con la planificación/documentación actual de CAP y deben actualizarse conforme avance el proyecto.</t>
  </si>
  <si>
    <t>Criterios utilizados – Product Backlog CAP</t>
  </si>
  <si>
    <t>Campo</t>
  </si>
  <si>
    <t>Criterio</t>
  </si>
  <si>
    <t>Identificador único del ítem o Historia de Usuario.</t>
  </si>
  <si>
    <t>Alta: esencial para el prototipo; Media: importante pero puede ejecutarse después de estabilizar funciones principales; Baja: mejora opcional.</t>
  </si>
  <si>
    <t>Integrante que lidera la programación del perfil o equipo cuando es una actividad transversal.</t>
  </si>
  <si>
    <t>Sprint principal en el que se planifica desarrollar o consolidar el ítem.</t>
  </si>
  <si>
    <t>No iniciado, En curso, Completado o Bloqueado.</t>
  </si>
  <si>
    <t>Estimación relativa de esfuerzo usando valores tipo Fibonacci (5, 8, 13).</t>
  </si>
  <si>
    <t>Historia o actividad que debe estar disponible para completar el ítem.</t>
  </si>
  <si>
    <t>Distribución de perfiles</t>
  </si>
  <si>
    <t>César Escamilla: Residente; Carlos Ycochea: Administrador; Ernesto Neculan: Guardia.</t>
  </si>
  <si>
    <t>Trabajo transversal</t>
  </si>
  <si>
    <t>Arquitectura, integración, nube, pruebas finales y ESP32 son actividades colaborativas del equipo.</t>
  </si>
  <si>
    <t>Fuente oficial de HU</t>
  </si>
  <si>
    <t>HU-01 a HU-11 provienen del Product Backlog consolidado del tablero Trello CAP.</t>
  </si>
  <si>
    <t>HU adicional recomendada</t>
  </si>
  <si>
    <t>HU-12: Registrar acceso excepcional de vehículo no inscrito; añadida para cubrir una funcionalidad actual que no estaba explícita en el backlog consolidado.</t>
  </si>
  <si>
    <t>Criterio de consistencia</t>
  </si>
  <si>
    <t>El Product Backlog debe mantenerse alineado con Trello, Carta Gantt, RACI, Sprint Backlog y el estado real del prototipo.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</si>
</sst>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FFFFF2CC"/>
      </patternFill>
    </fill>
  </fills>
  <borders count="15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3" borderId="9" xfId="0" applyFont="1" applyFill="1" applyBorder="1"/>
    <xf numFmtId="0" fontId="4" fillId="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5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595959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pane xSplit="2" ySplit="4" topLeftCell="C13" activePane="bottomRight" state="frozen"/>
      <selection pane="topRight"/>
      <selection pane="bottomLeft"/>
      <selection pane="bottomRight" activeCell="E13" sqref="E13"/>
    </sheetView>
  </sheetViews>
  <sheetFormatPr baseColWidth="10" defaultColWidth="8.796875" defaultRowHeight="13.8"/>
  <cols>
    <col min="1" max="1" width="10" customWidth="1"/>
    <col min="2" max="2" width="45" customWidth="1"/>
    <col min="3" max="3" width="20" customWidth="1"/>
    <col min="4" max="4" width="12" customWidth="1"/>
    <col min="5" max="5" width="22" customWidth="1"/>
    <col min="6" max="6" width="13" customWidth="1"/>
    <col min="7" max="7" width="15" customWidth="1"/>
    <col min="8" max="8" width="10" customWidth="1"/>
    <col min="9" max="9" width="18" customWidth="1"/>
    <col min="10" max="10" width="42" customWidth="1"/>
  </cols>
  <sheetData>
    <row r="1" spans="1:10" ht="30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4" spans="1:10" ht="34.049999999999997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43.95" customHeight="1">
      <c r="A5" s="10" t="s">
        <v>12</v>
      </c>
      <c r="B5" s="4" t="s">
        <v>13</v>
      </c>
      <c r="C5" s="4" t="s">
        <v>14</v>
      </c>
      <c r="D5" s="13" t="s">
        <v>15</v>
      </c>
      <c r="E5" s="13" t="s">
        <v>16</v>
      </c>
      <c r="F5" s="13" t="s">
        <v>17</v>
      </c>
      <c r="G5" s="13" t="s">
        <v>18</v>
      </c>
      <c r="H5" s="13">
        <v>5</v>
      </c>
      <c r="I5" s="4" t="s">
        <v>19</v>
      </c>
      <c r="J5" s="5" t="s">
        <v>20</v>
      </c>
    </row>
    <row r="6" spans="1:10" ht="43.95" customHeight="1">
      <c r="A6" s="11" t="s">
        <v>21</v>
      </c>
      <c r="B6" s="6" t="s">
        <v>22</v>
      </c>
      <c r="C6" s="6" t="s">
        <v>23</v>
      </c>
      <c r="D6" s="14" t="s">
        <v>15</v>
      </c>
      <c r="E6" s="14" t="s">
        <v>24</v>
      </c>
      <c r="F6" s="14" t="s">
        <v>25</v>
      </c>
      <c r="G6" s="14" t="s">
        <v>26</v>
      </c>
      <c r="H6" s="14">
        <v>8</v>
      </c>
      <c r="I6" s="6" t="s">
        <v>12</v>
      </c>
      <c r="J6" s="7" t="s">
        <v>27</v>
      </c>
    </row>
    <row r="7" spans="1:10" ht="43.95" customHeight="1">
      <c r="A7" s="11" t="s">
        <v>28</v>
      </c>
      <c r="B7" s="6" t="s">
        <v>29</v>
      </c>
      <c r="C7" s="6" t="s">
        <v>30</v>
      </c>
      <c r="D7" s="14" t="s">
        <v>15</v>
      </c>
      <c r="E7" s="14" t="s">
        <v>31</v>
      </c>
      <c r="F7" s="14" t="s">
        <v>25</v>
      </c>
      <c r="G7" s="14" t="s">
        <v>18</v>
      </c>
      <c r="H7" s="14">
        <v>8</v>
      </c>
      <c r="I7" s="6" t="s">
        <v>12</v>
      </c>
      <c r="J7" s="7" t="s">
        <v>32</v>
      </c>
    </row>
    <row r="8" spans="1:10" ht="43.95" customHeight="1">
      <c r="A8" s="11" t="s">
        <v>33</v>
      </c>
      <c r="B8" s="6" t="s">
        <v>34</v>
      </c>
      <c r="C8" s="6" t="s">
        <v>35</v>
      </c>
      <c r="D8" s="14" t="s">
        <v>36</v>
      </c>
      <c r="E8" s="14" t="s">
        <v>16</v>
      </c>
      <c r="F8" s="14" t="s">
        <v>37</v>
      </c>
      <c r="G8" s="14" t="s">
        <v>38</v>
      </c>
      <c r="H8" s="14">
        <v>13</v>
      </c>
      <c r="I8" s="6" t="s">
        <v>28</v>
      </c>
      <c r="J8" s="7" t="s">
        <v>39</v>
      </c>
    </row>
    <row r="9" spans="1:10" ht="43.95" customHeight="1">
      <c r="A9" s="11" t="s">
        <v>40</v>
      </c>
      <c r="B9" s="6" t="s">
        <v>41</v>
      </c>
      <c r="C9" s="6" t="s">
        <v>35</v>
      </c>
      <c r="D9" s="14" t="s">
        <v>15</v>
      </c>
      <c r="E9" s="14" t="s">
        <v>42</v>
      </c>
      <c r="F9" s="14" t="s">
        <v>43</v>
      </c>
      <c r="G9" s="14" t="s">
        <v>26</v>
      </c>
      <c r="H9" s="14">
        <v>8</v>
      </c>
      <c r="I9" s="6" t="s">
        <v>28</v>
      </c>
      <c r="J9" s="7" t="s">
        <v>44</v>
      </c>
    </row>
    <row r="10" spans="1:10" ht="43.95" customHeight="1">
      <c r="A10" s="11" t="s">
        <v>45</v>
      </c>
      <c r="B10" s="6" t="s">
        <v>46</v>
      </c>
      <c r="C10" s="6" t="s">
        <v>30</v>
      </c>
      <c r="D10" s="14" t="s">
        <v>36</v>
      </c>
      <c r="E10" s="14" t="s">
        <v>31</v>
      </c>
      <c r="F10" s="14" t="s">
        <v>47</v>
      </c>
      <c r="G10" s="14" t="s">
        <v>26</v>
      </c>
      <c r="H10" s="14">
        <v>13</v>
      </c>
      <c r="I10" s="6" t="s">
        <v>12</v>
      </c>
      <c r="J10" s="7" t="s">
        <v>48</v>
      </c>
    </row>
    <row r="11" spans="1:10" ht="43.95" customHeight="1">
      <c r="A11" s="11" t="s">
        <v>49</v>
      </c>
      <c r="B11" s="6" t="s">
        <v>50</v>
      </c>
      <c r="C11" s="6" t="s">
        <v>35</v>
      </c>
      <c r="D11" s="14" t="s">
        <v>15</v>
      </c>
      <c r="E11" s="14" t="s">
        <v>42</v>
      </c>
      <c r="F11" s="14" t="s">
        <v>47</v>
      </c>
      <c r="G11" s="14" t="s">
        <v>26</v>
      </c>
      <c r="H11" s="14">
        <v>8</v>
      </c>
      <c r="I11" s="6" t="s">
        <v>45</v>
      </c>
      <c r="J11" s="7" t="s">
        <v>51</v>
      </c>
    </row>
    <row r="12" spans="1:10" ht="43.95" customHeight="1">
      <c r="A12" s="11" t="s">
        <v>52</v>
      </c>
      <c r="B12" s="6" t="s">
        <v>53</v>
      </c>
      <c r="C12" s="6" t="s">
        <v>35</v>
      </c>
      <c r="D12" s="14" t="s">
        <v>15</v>
      </c>
      <c r="E12" s="14" t="s">
        <v>42</v>
      </c>
      <c r="F12" s="14" t="s">
        <v>43</v>
      </c>
      <c r="G12" s="14" t="s">
        <v>26</v>
      </c>
      <c r="H12" s="14">
        <v>8</v>
      </c>
      <c r="I12" s="6" t="s">
        <v>54</v>
      </c>
      <c r="J12" s="7" t="s">
        <v>55</v>
      </c>
    </row>
    <row r="13" spans="1:10" ht="43.95" customHeight="1">
      <c r="A13" s="11" t="s">
        <v>56</v>
      </c>
      <c r="B13" s="6" t="s">
        <v>57</v>
      </c>
      <c r="C13" s="6" t="s">
        <v>58</v>
      </c>
      <c r="D13" s="14" t="s">
        <v>36</v>
      </c>
      <c r="E13" s="14" t="s">
        <v>16</v>
      </c>
      <c r="F13" s="14" t="s">
        <v>37</v>
      </c>
      <c r="G13" s="14" t="s">
        <v>38</v>
      </c>
      <c r="H13" s="14">
        <v>13</v>
      </c>
      <c r="I13" s="6" t="s">
        <v>59</v>
      </c>
      <c r="J13" s="7" t="s">
        <v>60</v>
      </c>
    </row>
    <row r="14" spans="1:10" ht="43.95" customHeight="1">
      <c r="A14" s="11" t="s">
        <v>61</v>
      </c>
      <c r="B14" s="6" t="s">
        <v>62</v>
      </c>
      <c r="C14" s="6" t="s">
        <v>35</v>
      </c>
      <c r="D14" s="14" t="s">
        <v>63</v>
      </c>
      <c r="E14" s="14" t="s">
        <v>42</v>
      </c>
      <c r="F14" s="14" t="s">
        <v>64</v>
      </c>
      <c r="G14" s="14" t="s">
        <v>26</v>
      </c>
      <c r="H14" s="14">
        <v>5</v>
      </c>
      <c r="I14" s="6" t="s">
        <v>54</v>
      </c>
      <c r="J14" s="7" t="s">
        <v>65</v>
      </c>
    </row>
    <row r="15" spans="1:10" ht="43.95" customHeight="1">
      <c r="A15" s="11" t="s">
        <v>66</v>
      </c>
      <c r="B15" s="6" t="s">
        <v>67</v>
      </c>
      <c r="C15" s="6" t="s">
        <v>68</v>
      </c>
      <c r="D15" s="14" t="s">
        <v>15</v>
      </c>
      <c r="E15" s="14" t="s">
        <v>69</v>
      </c>
      <c r="F15" s="14" t="s">
        <v>47</v>
      </c>
      <c r="G15" s="14" t="s">
        <v>26</v>
      </c>
      <c r="H15" s="14">
        <v>8</v>
      </c>
      <c r="I15" s="6" t="s">
        <v>45</v>
      </c>
      <c r="J15" s="7" t="s">
        <v>70</v>
      </c>
    </row>
    <row r="16" spans="1:10" ht="43.95" customHeight="1">
      <c r="A16" s="12" t="s">
        <v>71</v>
      </c>
      <c r="B16" s="8" t="s">
        <v>72</v>
      </c>
      <c r="C16" s="8" t="s">
        <v>73</v>
      </c>
      <c r="D16" s="15" t="s">
        <v>15</v>
      </c>
      <c r="E16" s="15" t="s">
        <v>42</v>
      </c>
      <c r="F16" s="15" t="s">
        <v>43</v>
      </c>
      <c r="G16" s="15" t="s">
        <v>26</v>
      </c>
      <c r="H16" s="15">
        <v>8</v>
      </c>
      <c r="I16" s="8" t="s">
        <v>40</v>
      </c>
      <c r="J16" s="9" t="s">
        <v>74</v>
      </c>
    </row>
    <row r="17" spans="1:10">
      <c r="A17" s="24" t="s">
        <v>75</v>
      </c>
      <c r="B17" s="24"/>
      <c r="C17" s="24"/>
      <c r="D17" s="24"/>
      <c r="E17" s="24"/>
      <c r="F17" s="24"/>
      <c r="G17" s="24"/>
      <c r="H17" s="24"/>
      <c r="I17" s="24"/>
      <c r="J17" s="24"/>
    </row>
    <row r="18" spans="1:10">
      <c r="A18" s="16" t="s">
        <v>76</v>
      </c>
      <c r="B18" s="17" t="s">
        <v>77</v>
      </c>
      <c r="F18" s="16" t="s">
        <v>76</v>
      </c>
      <c r="G18" s="17" t="s">
        <v>77</v>
      </c>
    </row>
    <row r="19" spans="1:10">
      <c r="A19" s="18" t="s">
        <v>78</v>
      </c>
      <c r="B19" s="19">
        <f>COUNTA(A5:A16)</f>
        <v>12</v>
      </c>
      <c r="F19" s="18" t="s">
        <v>79</v>
      </c>
      <c r="G19" s="19">
        <f>COUNTIF(G5:G16,"No iniciado")</f>
        <v>2</v>
      </c>
    </row>
    <row r="20" spans="1:10">
      <c r="A20" s="18" t="s">
        <v>80</v>
      </c>
      <c r="B20" s="19">
        <f>COUNTIF(G5:G16,"Completado")</f>
        <v>2</v>
      </c>
      <c r="F20" s="18" t="s">
        <v>81</v>
      </c>
      <c r="G20" s="19">
        <f>COUNTIF(D5:D16,"Alta")+COUNTIF(D5:D16,"Muy Alta")</f>
        <v>11</v>
      </c>
    </row>
    <row r="21" spans="1:10">
      <c r="A21" s="20" t="s">
        <v>26</v>
      </c>
      <c r="B21" s="21">
        <f>COUNTIF(G5:G16,"En curso")</f>
        <v>8</v>
      </c>
      <c r="F21" s="20" t="s">
        <v>82</v>
      </c>
      <c r="G21" s="21">
        <f>SUM(H5:H16)</f>
        <v>105</v>
      </c>
    </row>
    <row r="24" spans="1:10">
      <c r="A24" s="25" t="s">
        <v>83</v>
      </c>
      <c r="B24" s="25"/>
      <c r="C24" s="25"/>
      <c r="D24" s="25"/>
      <c r="E24" s="25"/>
      <c r="F24" s="25"/>
      <c r="G24" s="25"/>
      <c r="H24" s="25"/>
      <c r="I24" s="25"/>
      <c r="J24" s="25"/>
    </row>
    <row r="25" spans="1:10">
      <c r="A25" s="25"/>
      <c r="B25" s="25"/>
      <c r="C25" s="25"/>
      <c r="D25" s="25"/>
      <c r="E25" s="25"/>
      <c r="F25" s="25"/>
      <c r="G25" s="25"/>
      <c r="H25" s="25"/>
      <c r="I25" s="25"/>
      <c r="J25" s="25"/>
    </row>
  </sheetData>
  <mergeCells count="4">
    <mergeCell ref="A1:J1"/>
    <mergeCell ref="A2:J2"/>
    <mergeCell ref="A17:J17"/>
    <mergeCell ref="A24:J25"/>
  </mergeCells>
  <conditionalFormatting sqref="D5:D16">
    <cfRule type="expression" dxfId="3" priority="4">
      <formula>D5="Alta"</formula>
    </cfRule>
  </conditionalFormatting>
  <conditionalFormatting sqref="G5:G16">
    <cfRule type="expression" dxfId="2" priority="1">
      <formula>G5="Completado"</formula>
    </cfRule>
    <cfRule type="expression" dxfId="1" priority="2">
      <formula>G5="En curso"</formula>
    </cfRule>
    <cfRule type="expression" dxfId="0" priority="3">
      <formula>G5="No iniciado"</formula>
    </cfRule>
  </conditionalFormatting>
  <dataValidations count="4">
    <dataValidation type="list" sqref="D5:D16" xr:uid="{00000000-0002-0000-0000-000000000000}">
      <formula1>"Alta,Media,Baja"</formula1>
    </dataValidation>
    <dataValidation type="list" sqref="F5:F16" xr:uid="{00000000-0002-0000-0000-000001000000}">
      <formula1>"Sprint 1,Sprint 2,Sprint 3,Sprint 4,Sprint 5,Sprint 6"</formula1>
    </dataValidation>
    <dataValidation type="list" sqref="G5:G16" xr:uid="{00000000-0002-0000-0000-000002000000}">
      <formula1>"No iniciado,En curso,Completado,Bloqueado"</formula1>
    </dataValidation>
    <dataValidation type="list" sqref="D5:D16" xr:uid="{00000000-0002-0000-0000-000003000000}">
      <formula1>"Muy Alta,Alta,Media,Baja"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abSelected="1" topLeftCell="A8" workbookViewId="0">
      <selection activeCell="B18" sqref="B18"/>
    </sheetView>
  </sheetViews>
  <sheetFormatPr baseColWidth="10" defaultColWidth="8.796875" defaultRowHeight="13.8"/>
  <cols>
    <col min="1" max="1" width="24" customWidth="1"/>
    <col min="2" max="2" width="85" customWidth="1"/>
  </cols>
  <sheetData>
    <row r="1" spans="1:2" ht="17.399999999999999">
      <c r="A1" s="26" t="s">
        <v>84</v>
      </c>
      <c r="B1" s="26"/>
    </row>
    <row r="3" spans="1:2" ht="27.15" customHeight="1">
      <c r="A3" s="1" t="s">
        <v>85</v>
      </c>
      <c r="B3" s="1" t="s">
        <v>86</v>
      </c>
    </row>
    <row r="4" spans="1:2" ht="27.15" customHeight="1">
      <c r="A4" s="3" t="s">
        <v>2</v>
      </c>
      <c r="B4" s="3" t="s">
        <v>87</v>
      </c>
    </row>
    <row r="5" spans="1:2" ht="27.15" customHeight="1">
      <c r="A5" s="3" t="s">
        <v>5</v>
      </c>
      <c r="B5" s="3" t="s">
        <v>88</v>
      </c>
    </row>
    <row r="6" spans="1:2" ht="27.15" customHeight="1">
      <c r="A6" s="3" t="s">
        <v>6</v>
      </c>
      <c r="B6" s="3" t="s">
        <v>89</v>
      </c>
    </row>
    <row r="7" spans="1:2" ht="27.15" customHeight="1">
      <c r="A7" s="3" t="s">
        <v>7</v>
      </c>
      <c r="B7" s="3" t="s">
        <v>90</v>
      </c>
    </row>
    <row r="8" spans="1:2" ht="27.15" customHeight="1">
      <c r="A8" s="3" t="s">
        <v>8</v>
      </c>
      <c r="B8" s="3" t="s">
        <v>91</v>
      </c>
    </row>
    <row r="9" spans="1:2" ht="27.15" customHeight="1">
      <c r="A9" s="3" t="s">
        <v>9</v>
      </c>
      <c r="B9" s="3" t="s">
        <v>92</v>
      </c>
    </row>
    <row r="10" spans="1:2" ht="27.15" customHeight="1">
      <c r="A10" s="3" t="s">
        <v>10</v>
      </c>
      <c r="B10" s="3" t="s">
        <v>93</v>
      </c>
    </row>
    <row r="11" spans="1:2" ht="27.15" customHeight="1">
      <c r="A11" s="3" t="s">
        <v>94</v>
      </c>
      <c r="B11" s="3" t="s">
        <v>95</v>
      </c>
    </row>
    <row r="12" spans="1:2" ht="27.15" customHeight="1">
      <c r="A12" s="3" t="s">
        <v>96</v>
      </c>
      <c r="B12" s="3" t="s">
        <v>97</v>
      </c>
    </row>
    <row r="13" spans="1:2">
      <c r="A13" s="3" t="s">
        <v>98</v>
      </c>
      <c r="B13" s="3" t="s">
        <v>99</v>
      </c>
    </row>
    <row r="14" spans="1:2" ht="27.6">
      <c r="A14" s="3" t="s">
        <v>100</v>
      </c>
      <c r="B14" s="3" t="s">
        <v>101</v>
      </c>
    </row>
    <row r="15" spans="1:2" ht="27.6">
      <c r="A15" s="3" t="s">
        <v>102</v>
      </c>
      <c r="B15" s="3" t="s">
        <v>103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</vt:lpstr>
      <vt:lpstr>Criterios del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escamilla hualaman</dc:creator>
  <cp:lastModifiedBy>CESAR ALEJANDRO ESCAMILLA HUALAMAN</cp:lastModifiedBy>
  <dcterms:created xsi:type="dcterms:W3CDTF">2026-10-12T14:16:10Z</dcterms:created>
  <dcterms:modified xsi:type="dcterms:W3CDTF">2026-10-12T14:16:11Z</dcterms:modified>
</cp:coreProperties>
</file>